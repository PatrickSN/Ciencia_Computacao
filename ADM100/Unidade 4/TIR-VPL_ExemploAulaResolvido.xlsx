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a Santos\Dropbox\UFV\Disciplinas - 2022-01\ADM 100 - 2022-01\Aulas - Unidade 4\"/>
    </mc:Choice>
  </mc:AlternateContent>
  <xr:revisionPtr revIDLastSave="0" documentId="13_ncr:1_{797AC415-6D7C-423F-8C4E-7830ECBC6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olvido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2" l="1"/>
  <c r="B12" i="2"/>
  <c r="B11" i="2"/>
  <c r="E8" i="2"/>
  <c r="E7" i="2"/>
  <c r="E6" i="2"/>
  <c r="E5" i="2"/>
  <c r="E4" i="2"/>
  <c r="F3" i="2"/>
  <c r="F5" i="2" l="1"/>
  <c r="F6" i="2" l="1"/>
  <c r="F7" i="2" s="1"/>
  <c r="F8" i="2" s="1"/>
</calcChain>
</file>

<file path=xl/sharedStrings.xml><?xml version="1.0" encoding="utf-8"?>
<sst xmlns="http://schemas.openxmlformats.org/spreadsheetml/2006/main" count="10" uniqueCount="10">
  <si>
    <t>ANO</t>
  </si>
  <si>
    <t>INVESTIMENTO</t>
  </si>
  <si>
    <t>RECEITAS</t>
  </si>
  <si>
    <t>DESPESAS</t>
  </si>
  <si>
    <t>FLUXO DE CAIXA LÍQUIDO</t>
  </si>
  <si>
    <t>(Receitas – Despesas)</t>
  </si>
  <si>
    <t>VPL</t>
  </si>
  <si>
    <t>TIR</t>
  </si>
  <si>
    <t>Taxa Mínima de Atratividade</t>
  </si>
  <si>
    <t>FLUXO DE CAIXA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</si>
</sst>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 vertical="center"/>
    </xf>
    <xf numFmtId="4" fontId="1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25" sqref="C25"/>
    </sheetView>
  </sheetViews>
  <sheetFormatPr defaultRowHeight="14.4" x14ac:dyDescent="0.3"/>
  <cols>
    <col min="1" max="1" width="29" customWidth="1"/>
    <col min="2" max="2" width="18.88671875" customWidth="1"/>
    <col min="3" max="3" width="16.5546875" customWidth="1"/>
    <col min="4" max="4" width="17.44140625" customWidth="1"/>
    <col min="5" max="5" width="31.5546875" customWidth="1"/>
    <col min="6" max="6" width="33.88671875" customWidth="1"/>
  </cols>
  <sheetData>
    <row r="1" spans="1:6" x14ac:dyDescent="0.3">
      <c r="A1" s="14" t="s">
        <v>0</v>
      </c>
      <c r="B1" s="14" t="s">
        <v>1</v>
      </c>
      <c r="C1" s="14" t="s">
        <v>2</v>
      </c>
      <c r="D1" s="14" t="s">
        <v>3</v>
      </c>
      <c r="E1" s="9" t="s">
        <v>4</v>
      </c>
      <c r="F1" s="15" t="s">
        <v>9</v>
      </c>
    </row>
    <row r="2" spans="1:6" ht="15.6" x14ac:dyDescent="0.3">
      <c r="A2" s="14"/>
      <c r="B2" s="14"/>
      <c r="C2" s="14"/>
      <c r="D2" s="14"/>
      <c r="E2" s="10" t="s">
        <v>5</v>
      </c>
      <c r="F2" s="15"/>
    </row>
    <row r="3" spans="1:6" ht="15.6" x14ac:dyDescent="0.3">
      <c r="A3" s="7">
        <v>0</v>
      </c>
      <c r="B3" s="5">
        <v>-30000</v>
      </c>
      <c r="C3" s="7"/>
      <c r="D3" s="7"/>
      <c r="E3" s="5">
        <v>-30000</v>
      </c>
      <c r="F3" s="5">
        <f>E3</f>
        <v>-30000</v>
      </c>
    </row>
    <row r="4" spans="1:6" ht="15.6" x14ac:dyDescent="0.3">
      <c r="A4" s="7">
        <v>1</v>
      </c>
      <c r="B4" s="7"/>
      <c r="C4" s="5">
        <v>32000</v>
      </c>
      <c r="D4" s="5">
        <v>18000</v>
      </c>
      <c r="E4" s="5">
        <f>C4-D4</f>
        <v>14000</v>
      </c>
      <c r="F4" s="5">
        <f>F3+E4</f>
        <v>-16000</v>
      </c>
    </row>
    <row r="5" spans="1:6" ht="15.6" x14ac:dyDescent="0.3">
      <c r="A5" s="7">
        <v>2</v>
      </c>
      <c r="B5" s="7"/>
      <c r="C5" s="5">
        <v>34000</v>
      </c>
      <c r="D5" s="5">
        <v>19000</v>
      </c>
      <c r="E5" s="5">
        <f t="shared" ref="E5:E8" si="0">C5-D5</f>
        <v>15000</v>
      </c>
      <c r="F5" s="5">
        <f>F4+E5</f>
        <v>-1000</v>
      </c>
    </row>
    <row r="6" spans="1:6" ht="15.6" x14ac:dyDescent="0.3">
      <c r="A6" s="7">
        <v>3</v>
      </c>
      <c r="B6" s="7"/>
      <c r="C6" s="5">
        <v>38000</v>
      </c>
      <c r="D6" s="5">
        <v>21000</v>
      </c>
      <c r="E6" s="5">
        <f t="shared" si="0"/>
        <v>17000</v>
      </c>
      <c r="F6" s="5">
        <f>E6+F5</f>
        <v>16000</v>
      </c>
    </row>
    <row r="7" spans="1:6" ht="15.6" x14ac:dyDescent="0.3">
      <c r="A7" s="7">
        <v>4</v>
      </c>
      <c r="B7" s="7"/>
      <c r="C7" s="5">
        <v>42000</v>
      </c>
      <c r="D7" s="5">
        <v>23000</v>
      </c>
      <c r="E7" s="5">
        <f t="shared" si="0"/>
        <v>19000</v>
      </c>
      <c r="F7" s="5">
        <f>E7+F6</f>
        <v>35000</v>
      </c>
    </row>
    <row r="8" spans="1:6" ht="15.6" x14ac:dyDescent="0.3">
      <c r="A8" s="7">
        <v>5</v>
      </c>
      <c r="B8" s="7"/>
      <c r="C8" s="5">
        <v>45000</v>
      </c>
      <c r="D8" s="5">
        <v>25000</v>
      </c>
      <c r="E8" s="5">
        <f t="shared" si="0"/>
        <v>20000</v>
      </c>
      <c r="F8" s="5">
        <f>E8+F7</f>
        <v>55000</v>
      </c>
    </row>
    <row r="9" spans="1:6" ht="15.6" x14ac:dyDescent="0.3">
      <c r="A9" s="1"/>
      <c r="B9" s="1"/>
      <c r="C9" s="2"/>
      <c r="D9" s="2"/>
      <c r="E9" s="2"/>
    </row>
    <row r="10" spans="1:6" ht="15.6" x14ac:dyDescent="0.3">
      <c r="A10" s="11" t="s">
        <v>8</v>
      </c>
      <c r="B10" s="4">
        <v>0.17</v>
      </c>
      <c r="C10" s="8"/>
      <c r="D10" s="3"/>
      <c r="E10" s="13"/>
    </row>
    <row r="11" spans="1:6" ht="15.6" x14ac:dyDescent="0.3">
      <c r="A11" s="11" t="s">
        <v>6</v>
      </c>
      <c r="B11" s="5">
        <f>NPV(B10,E4:E8)+E3</f>
        <v>22799.388653715781</v>
      </c>
      <c r="C11" s="8"/>
    </row>
    <row r="12" spans="1:6" ht="15.6" x14ac:dyDescent="0.3">
      <c r="A12" s="12" t="s">
        <v>7</v>
      </c>
      <c r="B12" s="6">
        <f>IRR(E3:E8)</f>
        <v>0.44576623734035326</v>
      </c>
      <c r="C12" s="8"/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Resolvido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</dc:creator>
  <cp:lastModifiedBy>Luana Santos</cp:lastModifiedBy>
  <dcterms:created xsi:type="dcterms:W3CDTF">2020-06-29T18:45:22Z</dcterms:created>
  <dcterms:modified xsi:type="dcterms:W3CDTF">2022-07-13T22:16:43Z</dcterms:modified>
</cp:coreProperties>
</file>